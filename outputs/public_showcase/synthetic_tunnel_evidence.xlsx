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7fd9559f2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615a0f489d493b"/>
    <x:sheet xmlns:r="http://schemas.openxmlformats.org/officeDocument/2006/relationships" name="Evidence" sheetId="2" r:id="R5dc78943158f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10">
    <x:font>
      <x:sz val="11"/>
      <x:name val="Carlito"/>
    </x:font>
    <x:font>
      <x:b/>
      <x:sz val="16"/>
      <x:color rgb="FFFFFFFF"/>
      <x:name val="Arial"/>
    </x:font>
    <x:font>
      <x:i/>
      <x:sz val="10"/>
      <x:color rgb="FF34463A"/>
      <x:name val="Arial"/>
    </x:font>
    <x:font>
      <x:b/>
      <x:sz val="11"/>
      <x:color rgb="FFFFFFFF"/>
      <x:name val="Arial"/>
    </x:font>
    <x:font>
      <x:b/>
      <x:sz val="14"/>
      <x:name val="Arial"/>
    </x:font>
    <x:font>
      <x:b/>
      <x:sz val="11"/>
      <x:color rgb="FF1D2A20"/>
      <x:name val="Arial"/>
    </x:font>
    <x:font>
      <x:sz val="10"/>
      <x:color rgb="FF1D2A20"/>
      <x:name val="Arial"/>
    </x:font>
    <x:font>
      <x:i/>
      <x:sz val="9"/>
      <x:color rgb="FF516055"/>
      <x:name val="Arial"/>
    </x:font>
    <x:font>
      <x:sz val="11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2A20"/>
      </x:patternFill>
    </x:fill>
    <x:fill>
      <x:patternFill patternType="solid">
        <x:fgColor rgb="FF34463A"/>
      </x:patternFill>
    </x:fill>
    <x:fill>
      <x:patternFill patternType="solid">
        <x:fgColor rgb="FFC8FA5B"/>
      </x:patternFill>
    </x:fill>
  </x:fills>
  <x:borders count="10">
    <x:border/>
    <x:border>
      <x:left style="thin">
        <x:color rgb="FFD4DDD0"/>
      </x:left>
      <x:right style="thin">
        <x:color rgb="FFD4DDD0"/>
      </x:right>
      <x:top style="thin">
        <x:color rgb="FFD4DDD0"/>
      </x:top>
      <x:bottom style="thin">
        <x:color rgb="FFD4DDD0"/>
      </x:bottom>
    </x:border>
    <x:border>
      <x:left style="thin">
        <x:color rgb="FFB6C4B6"/>
      </x:left>
      <x:top style="thin">
        <x:color rgb="FFB6C4B6"/>
      </x:top>
    </x:border>
    <x:border>
      <x:top style="thin">
        <x:color rgb="FFB6C4B6"/>
      </x:top>
    </x:border>
    <x:border>
      <x:right style="thin">
        <x:color rgb="FFB6C4B6"/>
      </x:right>
      <x:top style="thin">
        <x:color rgb="FFB6C4B6"/>
      </x:top>
    </x:border>
    <x:border>
      <x:left style="thin">
        <x:color rgb="FFB6C4B6"/>
      </x:left>
    </x:border>
    <x:border>
      <x:right style="thin">
        <x:color rgb="FFB6C4B6"/>
      </x:right>
    </x:border>
    <x:border>
      <x:left style="thin">
        <x:color rgb="FFB6C4B6"/>
      </x:left>
      <x:bottom style="thin">
        <x:color rgb="FFB6C4B6"/>
      </x:bottom>
    </x:border>
    <x:border>
      <x:bottom style="thin">
        <x:color rgb="FFB6C4B6"/>
      </x:bottom>
    </x:border>
    <x:border>
      <x:right style="thin">
        <x:color rgb="FFB6C4B6"/>
      </x:right>
      <x:bottom style="thin">
        <x:color rgb="FFB6C4B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4531A"/>
      </x:font>
      <x:fill>
        <x:patternFill patternType="solid">
          <x:bgColor rgb="FFDFF5C2"/>
        </x:patternFill>
      </x:fill>
    </x:dxf>
    <x:dxf>
      <x:font>
        <x:b/>
        <x:color rgb="FF9A3E00"/>
      </x:font>
      <x:fill>
        <x:patternFill patternType="solid">
          <x:bgColor rgb="FFFFE4C7"/>
        </x:patternFill>
      </x:fill>
    </x:dxf>
    <x:dxf>
      <x:font>
        <x:color rgb="FF38403A"/>
      </x:font>
      <x:fill>
        <x:patternFill patternType="solid">
          <x:bgColor rgb="FFE7EA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f0b869d494dc4" /><Relationship Type="http://schemas.openxmlformats.org/officeDocument/2006/relationships/theme" Target="/xl/theme/theme1.xml" Id="R20b1dadc51064487" /><Relationship Type="http://schemas.openxmlformats.org/officeDocument/2006/relationships/sharedStrings" Target="/xl/sharedStrings.xml" Id="Raadc00b3e0f243e4" /><Relationship Type="http://schemas.openxmlformats.org/officeDocument/2006/relationships/worksheet" Target="/xl/worksheets/sheet1.xml" Id="R27615a0f489d493b" /><Relationship Type="http://schemas.openxmlformats.org/officeDocument/2006/relationships/worksheet" Target="/xl/worksheets/sheet2.xml" Id="R5dc78943158f4a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edf44ddd4849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Decision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edf44ddd4849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596add4fb74843" /></Relationships>
</file>

<file path=xl/worksheets/sheet1.xml><?xml version="1.0" encoding="utf-8"?>
<x:worksheet xmlns:x="http://schemas.openxmlformats.org/spreadsheetml/2006/main">
  <x:sheetPr>
    <x:tabColor rgb="FF1D2A20"/>
  </x:sheetPr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" t="str">
        <x:v>Synthetic T0/T1 Tunnel Evidence</x:v>
      </x:c>
      <x:c r="B1" s="3"/>
      <x:c r="C1" s="3"/>
      <x:c r="D1" s="3"/>
      <x:c r="E1" s="3"/>
      <x:c r="F1" s="3"/>
      <x:c r="G1" s="3"/>
      <x:c r="H1" s="3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4" t="str">
        <x:v>Public deterministic point-cloud example. T0/T1 scans, local LoD95 evidence, and one deliberate missing-data case.</x:v>
      </x:c>
      <x:c r="B3" s="4"/>
      <x:c r="C3" s="4"/>
      <x:c r="D3" s="4"/>
      <x:c r="E3" s="4"/>
      <x:c r="F3" s="4"/>
      <x:c r="G3" s="4"/>
      <x:c r="H3" s="4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8" t="str">
        <x:v>Decision</x:v>
      </x:c>
      <x:c r="B5" s="8" t="str">
        <x:v>Count</x:v>
      </x:c>
      <x:c r="C5" s="18"/>
      <x:c r="D5" s="18"/>
      <x:c r="E5" s="18"/>
      <x:c r="F5" s="18"/>
      <x:c r="G5" s="18"/>
      <x:c r="H5" s="18"/>
    </x:row>
    <x:row r="6">
      <x:c r="A6" s="19" t="str">
        <x:v>CONFIRMED DEFORMATION</x:v>
      </x:c>
      <x:c r="B6" s="11" t="n">
        <x:f>COUNTIF(Evidence!$H$2:$H$15,"CONFIRMED DEFORMATION")</x:f>
        <x:v>2</x:v>
      </x:c>
      <x:c r="C6" s="18"/>
      <x:c r="D6" s="18"/>
      <x:c r="E6" s="18"/>
      <x:c r="F6" s="18"/>
      <x:c r="G6" s="18"/>
      <x:c r="H6" s="18"/>
    </x:row>
    <x:row r="7">
      <x:c r="A7" s="19" t="str">
        <x:v>NOT CONFIRMED</x:v>
      </x:c>
      <x:c r="B7" s="11" t="n">
        <x:f>COUNTIF(Evidence!$H$2:$H$15,"NOT CONFIRMED")</x:f>
        <x:v>11</x:v>
      </x:c>
      <x:c r="C7" s="18"/>
      <x:c r="D7" s="18"/>
      <x:c r="E7" s="18"/>
      <x:c r="F7" s="18"/>
      <x:c r="G7" s="18"/>
      <x:c r="H7" s="18"/>
    </x:row>
    <x:row r="8">
      <x:c r="A8" s="19" t="str">
        <x:v>INSUFFICIENT DATA</x:v>
      </x:c>
      <x:c r="B8" s="11" t="n">
        <x:f>COUNTIF(Evidence!$H$2:$H$15,"INSUFFICIENT DATA")</x:f>
        <x:v>1</x:v>
      </x:c>
      <x:c r="C8" s="18"/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13" t="str">
        <x:v>Interpretation</x:v>
      </x:c>
      <x:c r="B10" s="13"/>
      <x:c r="C10" s="13"/>
      <x:c r="D10" s="13"/>
      <x:c r="E10" s="13"/>
      <x:c r="F10" s="13"/>
      <x:c r="G10" s="13"/>
      <x:c r="H10" s="13"/>
    </x:row>
    <x:row r="11">
      <x:c r="A11" s="16" t="str">
        <x:v>Ch. 20 m crown and Ch. 45 m right sidewall have prescribed inward movement. Ch. 40 m crown omits T1 support and must remain INSUFFICIENT DATA. All other supported locations remain NOT CONFIRMED.</x:v>
      </x:c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7" t="str">
        <x:v>Source: generated by examples/generate_synthetic_tunnel.py. Synthetic data only; no field, client, or personal data.</x:v>
      </x:c>
      <x:c r="B15" s="17"/>
      <x:c r="C15" s="17"/>
      <x:c r="D15" s="17"/>
      <x:c r="E15" s="17"/>
      <x:c r="F15" s="17"/>
      <x:c r="G15" s="17"/>
      <x:c r="H15" s="17"/>
    </x:row>
  </x:sheetData>
  <x:mergeCells>
    <x:mergeCell ref="A1:H1"/>
    <x:mergeCell ref="A3:H3"/>
    <x:mergeCell ref="A10:H10"/>
    <x:mergeCell ref="A11:H13"/>
    <x:mergeCell ref="A15:H15"/>
  </x:mergeCells>
  <x:pageMargins left="0.7" right="0.7" top="0.75" bottom="0.75" header="0.3" footer="0.3"/>
  <x:drawing xmlns:r="http://schemas.openxmlformats.org/officeDocument/2006/relationships" r:id="R27596add4fb7484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60" hidden="0" customWidth="1"/>
  </x:cols>
  <x:sheetData>
    <x:row r="1">
      <x:c r="A1" s="26" t="str">
        <x:v>Chainage (m)</x:v>
      </x:c>
      <x:c r="B1" s="27" t="str">
        <x:v>Zone</x:v>
      </x:c>
      <x:c r="C1" s="27" t="str">
        <x:v>Measured movement (mm)</x:v>
      </x:c>
      <x:c r="D1" s="27" t="str">
        <x:v>Local LoD95 (mm)</x:v>
      </x:c>
      <x:c r="E1" s="27" t="str">
        <x:v>Common bins</x:v>
      </x:c>
      <x:c r="F1" s="27" t="str">
        <x:v>Expected bins</x:v>
      </x:c>
      <x:c r="G1" s="27" t="str">
        <x:v>Coverage ratio</x:v>
      </x:c>
      <x:c r="H1" s="27" t="str">
        <x:v>Decision</x:v>
      </x:c>
      <x:c r="I1" s="28" t="str">
        <x:v>Reason</x:v>
      </x:c>
    </x:row>
    <x:row r="2" ht="21" customHeight="1">
      <x:c r="A2" s="29" t="n">
        <x:v>0</x:v>
      </x:c>
      <x:c r="B2" s="25" t="str">
        <x:v>crown</x:v>
      </x:c>
      <x:c r="C2" s="34" t="n">
        <x:v>0</x:v>
      </x:c>
      <x:c r="D2" s="34" t="n">
        <x:v>1.2901503603400883</x:v>
      </x:c>
      <x:c r="E2" s="25" t="n">
        <x:v>13</x:v>
      </x:c>
      <x:c r="F2" s="25" t="n">
        <x:v>13</x:v>
      </x:c>
      <x:c r="G2" s="36" t="n">
        <x:v>1</x:v>
      </x:c>
      <x:c r="H2" s="25" t="str">
        <x:v>NOT CONFIRMED</x:v>
      </x:c>
      <x:c r="I2" s="30" t="str">
        <x:v>Measured +0.000 mm is within local detection limit 1.290 mm.</x:v>
      </x:c>
    </x:row>
    <x:row r="3" ht="21" customHeight="1">
      <x:c r="A3" s="29" t="n">
        <x:v>0</x:v>
      </x:c>
      <x:c r="B3" s="25" t="str">
        <x:v>right_sidewall</x:v>
      </x:c>
      <x:c r="C3" s="34" t="n">
        <x:v>0</x:v>
      </x:c>
      <x:c r="D3" s="34" t="n">
        <x:v>1.2901503603400883</x:v>
      </x:c>
      <x:c r="E3" s="25" t="n">
        <x:v>13</x:v>
      </x:c>
      <x:c r="F3" s="25" t="n">
        <x:v>13</x:v>
      </x:c>
      <x:c r="G3" s="36" t="n">
        <x:v>1</x:v>
      </x:c>
      <x:c r="H3" s="25" t="str">
        <x:v>NOT CONFIRMED</x:v>
      </x:c>
      <x:c r="I3" s="30" t="str">
        <x:v>Measured +0.000 mm is within local detection limit 1.290 mm.</x:v>
      </x:c>
    </x:row>
    <x:row r="4" ht="21" customHeight="1">
      <x:c r="A4" s="29" t="n">
        <x:v>10</x:v>
      </x:c>
      <x:c r="B4" s="25" t="str">
        <x:v>crown</x:v>
      </x:c>
      <x:c r="C4" s="34" t="n">
        <x:v>0</x:v>
      </x:c>
      <x:c r="D4" s="34" t="n">
        <x:v>1.2901503603400883</x:v>
      </x:c>
      <x:c r="E4" s="25" t="n">
        <x:v>13</x:v>
      </x:c>
      <x:c r="F4" s="25" t="n">
        <x:v>13</x:v>
      </x:c>
      <x:c r="G4" s="36" t="n">
        <x:v>1</x:v>
      </x:c>
      <x:c r="H4" s="25" t="str">
        <x:v>NOT CONFIRMED</x:v>
      </x:c>
      <x:c r="I4" s="30" t="str">
        <x:v>Measured +0.000 mm is within local detection limit 1.290 mm.</x:v>
      </x:c>
    </x:row>
    <x:row r="5" ht="21" customHeight="1">
      <x:c r="A5" s="29" t="n">
        <x:v>10</x:v>
      </x:c>
      <x:c r="B5" s="25" t="str">
        <x:v>right_sidewall</x:v>
      </x:c>
      <x:c r="C5" s="34" t="n">
        <x:v>0</x:v>
      </x:c>
      <x:c r="D5" s="34" t="n">
        <x:v>1.2901503603400883</x:v>
      </x:c>
      <x:c r="E5" s="25" t="n">
        <x:v>13</x:v>
      </x:c>
      <x:c r="F5" s="25" t="n">
        <x:v>13</x:v>
      </x:c>
      <x:c r="G5" s="36" t="n">
        <x:v>1</x:v>
      </x:c>
      <x:c r="H5" s="25" t="str">
        <x:v>NOT CONFIRMED</x:v>
      </x:c>
      <x:c r="I5" s="30" t="str">
        <x:v>Measured +0.000 mm is within local detection limit 1.290 mm.</x:v>
      </x:c>
    </x:row>
    <x:row r="6" ht="21" customHeight="1">
      <x:c r="A6" s="29" t="n">
        <x:v>20</x:v>
      </x:c>
      <x:c r="B6" s="25" t="str">
        <x:v>crown</x:v>
      </x:c>
      <x:c r="C6" s="34" t="n">
        <x:v>-24.99999999999991</x:v>
      </x:c>
      <x:c r="D6" s="34" t="n">
        <x:v>1.2901503603400883</x:v>
      </x:c>
      <x:c r="E6" s="25" t="n">
        <x:v>13</x:v>
      </x:c>
      <x:c r="F6" s="25" t="n">
        <x:v>13</x:v>
      </x:c>
      <x:c r="G6" s="36" t="n">
        <x:v>1</x:v>
      </x:c>
      <x:c r="H6" s="25" t="str">
        <x:v>CONFIRMED DEFORMATION</x:v>
      </x:c>
      <x:c r="I6" s="30" t="str">
        <x:v>Measured -25.000 mm exceeds local detection limit 1.290 mm.</x:v>
      </x:c>
    </x:row>
    <x:row r="7" ht="21" customHeight="1">
      <x:c r="A7" s="29" t="n">
        <x:v>20</x:v>
      </x:c>
      <x:c r="B7" s="25" t="str">
        <x:v>right_sidewall</x:v>
      </x:c>
      <x:c r="C7" s="34" t="n">
        <x:v>0</x:v>
      </x:c>
      <x:c r="D7" s="34" t="n">
        <x:v>1.2901503603400883</x:v>
      </x:c>
      <x:c r="E7" s="25" t="n">
        <x:v>13</x:v>
      </x:c>
      <x:c r="F7" s="25" t="n">
        <x:v>13</x:v>
      </x:c>
      <x:c r="G7" s="36" t="n">
        <x:v>1</x:v>
      </x:c>
      <x:c r="H7" s="25" t="str">
        <x:v>NOT CONFIRMED</x:v>
      </x:c>
      <x:c r="I7" s="30" t="str">
        <x:v>Measured +0.000 mm is within local detection limit 1.290 mm.</x:v>
      </x:c>
    </x:row>
    <x:row r="8" ht="21" customHeight="1">
      <x:c r="A8" s="29" t="n">
        <x:v>30</x:v>
      </x:c>
      <x:c r="B8" s="25" t="str">
        <x:v>crown</x:v>
      </x:c>
      <x:c r="C8" s="34" t="n">
        <x:v>0</x:v>
      </x:c>
      <x:c r="D8" s="34" t="n">
        <x:v>1.2901503603400883</x:v>
      </x:c>
      <x:c r="E8" s="25" t="n">
        <x:v>13</x:v>
      </x:c>
      <x:c r="F8" s="25" t="n">
        <x:v>13</x:v>
      </x:c>
      <x:c r="G8" s="36" t="n">
        <x:v>1</x:v>
      </x:c>
      <x:c r="H8" s="25" t="str">
        <x:v>NOT CONFIRMED</x:v>
      </x:c>
      <x:c r="I8" s="30" t="str">
        <x:v>Measured +0.000 mm is within local detection limit 1.290 mm.</x:v>
      </x:c>
    </x:row>
    <x:row r="9" ht="21" customHeight="1">
      <x:c r="A9" s="29" t="n">
        <x:v>30</x:v>
      </x:c>
      <x:c r="B9" s="25" t="str">
        <x:v>right_sidewall</x:v>
      </x:c>
      <x:c r="C9" s="34" t="n">
        <x:v>0</x:v>
      </x:c>
      <x:c r="D9" s="34" t="n">
        <x:v>1.2901503603400883</x:v>
      </x:c>
      <x:c r="E9" s="25" t="n">
        <x:v>13</x:v>
      </x:c>
      <x:c r="F9" s="25" t="n">
        <x:v>13</x:v>
      </x:c>
      <x:c r="G9" s="36" t="n">
        <x:v>1</x:v>
      </x:c>
      <x:c r="H9" s="25" t="str">
        <x:v>NOT CONFIRMED</x:v>
      </x:c>
      <x:c r="I9" s="30" t="str">
        <x:v>Measured +0.000 mm is within local detection limit 1.290 mm.</x:v>
      </x:c>
    </x:row>
    <x:row r="10" ht="21" customHeight="1">
      <x:c r="A10" s="29" t="n">
        <x:v>40</x:v>
      </x:c>
      <x:c r="B10" s="25" t="str">
        <x:v>crown</x:v>
      </x:c>
      <x:c r="C10" s="34"/>
      <x:c r="D10" s="34"/>
      <x:c r="E10" s="25" t="n">
        <x:v>0</x:v>
      </x:c>
      <x:c r="F10" s="25" t="n">
        <x:v>13</x:v>
      </x:c>
      <x:c r="G10" s="36" t="n">
        <x:v>0</x:v>
      </x:c>
      <x:c r="H10" s="25" t="str">
        <x:v>INSUFFICIENT DATA</x:v>
      </x:c>
      <x:c r="I10" s="30" t="str">
        <x:v>Only 0/13 angular bins have at least 10 points in both epochs.</x:v>
      </x:c>
    </x:row>
    <x:row r="11" ht="21" customHeight="1">
      <x:c r="A11" s="29" t="n">
        <x:v>40</x:v>
      </x:c>
      <x:c r="B11" s="25" t="str">
        <x:v>right_sidewall</x:v>
      </x:c>
      <x:c r="C11" s="34" t="n">
        <x:v>0</x:v>
      </x:c>
      <x:c r="D11" s="34" t="n">
        <x:v>1.2901503603400883</x:v>
      </x:c>
      <x:c r="E11" s="25" t="n">
        <x:v>13</x:v>
      </x:c>
      <x:c r="F11" s="25" t="n">
        <x:v>13</x:v>
      </x:c>
      <x:c r="G11" s="36" t="n">
        <x:v>1</x:v>
      </x:c>
      <x:c r="H11" s="25" t="str">
        <x:v>NOT CONFIRMED</x:v>
      </x:c>
      <x:c r="I11" s="30" t="str">
        <x:v>Measured +0.000 mm is within local detection limit 1.290 mm.</x:v>
      </x:c>
    </x:row>
    <x:row r="12" ht="21" customHeight="1">
      <x:c r="A12" s="29" t="n">
        <x:v>45</x:v>
      </x:c>
      <x:c r="B12" s="25" t="str">
        <x:v>crown</x:v>
      </x:c>
      <x:c r="C12" s="34" t="n">
        <x:v>0</x:v>
      </x:c>
      <x:c r="D12" s="34" t="n">
        <x:v>1.2901503603400883</x:v>
      </x:c>
      <x:c r="E12" s="25" t="n">
        <x:v>13</x:v>
      </x:c>
      <x:c r="F12" s="25" t="n">
        <x:v>13</x:v>
      </x:c>
      <x:c r="G12" s="36" t="n">
        <x:v>1</x:v>
      </x:c>
      <x:c r="H12" s="25" t="str">
        <x:v>NOT CONFIRMED</x:v>
      </x:c>
      <x:c r="I12" s="30" t="str">
        <x:v>Measured +0.000 mm is within local detection limit 1.290 mm.</x:v>
      </x:c>
    </x:row>
    <x:row r="13" ht="21" customHeight="1">
      <x:c r="A13" s="29" t="n">
        <x:v>45</x:v>
      </x:c>
      <x:c r="B13" s="25" t="str">
        <x:v>right_sidewall</x:v>
      </x:c>
      <x:c r="C13" s="34" t="n">
        <x:v>-20.000000000000018</x:v>
      </x:c>
      <x:c r="D13" s="34" t="n">
        <x:v>1.2901503603400883</x:v>
      </x:c>
      <x:c r="E13" s="25" t="n">
        <x:v>13</x:v>
      </x:c>
      <x:c r="F13" s="25" t="n">
        <x:v>13</x:v>
      </x:c>
      <x:c r="G13" s="36" t="n">
        <x:v>1</x:v>
      </x:c>
      <x:c r="H13" s="25" t="str">
        <x:v>CONFIRMED DEFORMATION</x:v>
      </x:c>
      <x:c r="I13" s="30" t="str">
        <x:v>Measured -20.000 mm exceeds local detection limit 1.290 mm.</x:v>
      </x:c>
    </x:row>
    <x:row r="14" ht="21" customHeight="1">
      <x:c r="A14" s="29" t="n">
        <x:v>50</x:v>
      </x:c>
      <x:c r="B14" s="25" t="str">
        <x:v>crown</x:v>
      </x:c>
      <x:c r="C14" s="34" t="n">
        <x:v>0</x:v>
      </x:c>
      <x:c r="D14" s="34" t="n">
        <x:v>1.2901503603400883</x:v>
      </x:c>
      <x:c r="E14" s="25" t="n">
        <x:v>13</x:v>
      </x:c>
      <x:c r="F14" s="25" t="n">
        <x:v>13</x:v>
      </x:c>
      <x:c r="G14" s="36" t="n">
        <x:v>1</x:v>
      </x:c>
      <x:c r="H14" s="25" t="str">
        <x:v>NOT CONFIRMED</x:v>
      </x:c>
      <x:c r="I14" s="30" t="str">
        <x:v>Measured +0.000 mm is within local detection limit 1.290 mm.</x:v>
      </x:c>
    </x:row>
    <x:row r="15" ht="21" customHeight="1">
      <x:c r="A15" s="31" t="n">
        <x:v>50</x:v>
      </x:c>
      <x:c r="B15" s="32" t="str">
        <x:v>right_sidewall</x:v>
      </x:c>
      <x:c r="C15" s="35" t="n">
        <x:v>0</x:v>
      </x:c>
      <x:c r="D15" s="35" t="n">
        <x:v>1.2901503603400883</x:v>
      </x:c>
      <x:c r="E15" s="32" t="n">
        <x:v>13</x:v>
      </x:c>
      <x:c r="F15" s="32" t="n">
        <x:v>13</x:v>
      </x:c>
      <x:c r="G15" s="37" t="n">
        <x:v>1</x:v>
      </x:c>
      <x:c r="H15" s="32" t="str">
        <x:v>NOT CONFIRMED</x:v>
      </x:c>
      <x:c r="I15" s="33" t="str">
        <x:v>Measured +0.000 mm is within local detection limit 1.290 mm.</x:v>
      </x:c>
    </x:row>
  </x:sheetData>
  <x:conditionalFormatting sqref="H2:H15">
    <x:cfRule type="beginsWith" dxfId="0" priority="1" operator="beginsWith" text="CONFIRMED"/>
    <x:cfRule type="containsText" dxfId="1" priority="2" operator="containsText" text="INSUFFICIENT"/>
    <x:cfRule type="containsText" dxfId="2" priority="3" operator="containsText" text="NOT CONFIRMED"/>
  </x:conditionalFormatting>
  <x:pageMargins left="0.7" right="0.7" top="0.75" bottom="0.75" header="0.3" footer="0.3"/>
</x:worksheet>
</file>